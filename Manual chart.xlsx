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H:\Qspiders\Manual\Testing - Charter\"/>
    </mc:Choice>
  </mc:AlternateContent>
  <xr:revisionPtr revIDLastSave="0" documentId="13_ncr:1000001_{B5BF21F6-7E65-2047-B120-72BA4CCEC10D}" xr6:coauthVersionLast="45" xr6:coauthVersionMax="45" xr10:uidLastSave="{00000000-0000-0000-0000-000000000000}"/>
  <bookViews>
    <workbookView xWindow="0" yWindow="0" windowWidth="22188" windowHeight="8712" xr2:uid="{00000000-000D-0000-FFFF-FFFF00000000}"/>
  </bookViews>
  <sheets>
    <sheet name="Sheet1" sheetId="1" r:id="rId1"/>
    <sheet name="Sheet3" sheetId="3"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3" l="1"/>
  <c r="E5" i="3"/>
  <c r="F5" i="3"/>
  <c r="C7" i="3"/>
  <c r="G5" i="3"/>
  <c r="D7" i="3"/>
  <c r="C8" i="3"/>
  <c r="D8" i="3"/>
  <c r="D9" i="3"/>
  <c r="C9" i="3"/>
  <c r="H5" i="3"/>
  <c r="E7" i="3"/>
  <c r="E8" i="3"/>
  <c r="E9" i="3"/>
  <c r="H6" i="3"/>
  <c r="G6" i="3"/>
  <c r="F6" i="3"/>
  <c r="E6" i="3"/>
</calcChain>
</file>

<file path=xl/sharedStrings.xml><?xml version="1.0" encoding="utf-8"?>
<sst xmlns="http://schemas.openxmlformats.org/spreadsheetml/2006/main" count="102" uniqueCount="101">
  <si>
    <t>Differences</t>
  </si>
  <si>
    <t>Functional testing</t>
  </si>
  <si>
    <t>Integration testing</t>
  </si>
  <si>
    <t>System testing</t>
  </si>
  <si>
    <t>Acceptance testing</t>
  </si>
  <si>
    <t>White Box testing</t>
  </si>
  <si>
    <t>Smoke testing</t>
  </si>
  <si>
    <t>Usability testing</t>
  </si>
  <si>
    <t>Performance Testing</t>
  </si>
  <si>
    <t>What</t>
  </si>
  <si>
    <t>When</t>
  </si>
  <si>
    <t>Why</t>
  </si>
  <si>
    <t>How</t>
  </si>
  <si>
    <t>Types</t>
  </si>
  <si>
    <t>Testing the data flow or interface between two or more modules/features is called as Integration Testing.</t>
  </si>
  <si>
    <t>Testing each and every  components of an application Rigorously/Thoroughly against Customer Requirement Specification is called as Functional Testing/Component Testing.</t>
  </si>
  <si>
    <t>Testing each and every line of the code is called White Box testing.</t>
  </si>
  <si>
    <t>Testing the Stability and Response Time of an application by applying load is called Performance Testing.</t>
  </si>
  <si>
    <t xml:space="preserve">Testing the User Friendliness of an application is called Usability Testing. </t>
  </si>
  <si>
    <t>Testing the Basic and Critical features of an application before doing Thorough/Rigorously Testing is called as Smoke Testing.</t>
  </si>
  <si>
    <t>It is an End to End Testing ,done by the Endusers/Customers where in they use Software for real time business for some particular period of time and check whether sw can handle all the real time business scenarios and situations.This  is called Acceptance Testing.</t>
  </si>
  <si>
    <t>It is an End to end testing done by the Test Engineer in Testing Server/Environment which is  similar to the Production Server/Environment.</t>
  </si>
  <si>
    <t xml:space="preserve">1)As soon as we get the build we(TE) should do Smoke Testing.
2)When Developer give the build to the Customer,chances are there developer might miss to copy few of the files,so customer will do smoke testing to check whether files are copied properly and build/sw is insalled properly or not.
3)Release Engineer /Build engineer will do smoke testingto check whether Build/sw is installled properly into testing servers and production server.
4)Developer will do Smoke Testing after  doing WBT before giving build /sw to Test Engineer.  </t>
  </si>
  <si>
    <t>1)Requirement should be present.
2)Coding should be done.</t>
  </si>
  <si>
    <t xml:space="preserve">1. Path tetsing                                                 2. Conditional testing                                      3.Loop testing                                                    4. Unit testing                                                     5. Testing from memory point of view     6.Testing from performance point of view                           </t>
  </si>
  <si>
    <t>1. Over testing                                                   2. Under testing                                                 3. Optimize testing</t>
  </si>
  <si>
    <t>1. Incremental Integration testing          a). Top down Incremental Integration testing                                                                   b). Bottom up Incremental Integration testing                                                                   2.Non incremental Integration testing</t>
  </si>
  <si>
    <t>1. End to End testing                                     2. Acceptance tetsing                                      3. Usability testing                                           4. Performance testing                                     5. Compatibility testing                                       6. Adhoc testing                                                     7. Regression testing                                      8. Smoke testing</t>
  </si>
  <si>
    <t>1. User Acceptance testing                            2. Operational Acceptance testing             3.Contract Acceptance testing                     4. Compliance Acceptance testing              5. Beta testing</t>
  </si>
  <si>
    <t>1. Formal Smoke testing                                    2. Informal Smoke testing</t>
  </si>
  <si>
    <t>1. Yellow Box testing                                       2. GUI testing</t>
  </si>
  <si>
    <t>1. Load testing                                                   2. Stress testing                                                  3. Scalability testing                                            4. Volume testing                                              5.Soak testing</t>
  </si>
  <si>
    <t>1. By writing flow chart                                  2. By using 'true' &amp; 'false' condition in program                                                                  3. By usinging loop condition                          4. By using automation tool(if no. of lines of codes are more)                                  5. By improving data memory                      6. By improving performance of codes</t>
  </si>
  <si>
    <t xml:space="preserve">Ex: Notepad                                                          1. To check that when user click on notepad, new notepad page should be displayed.                                                            2. To check that when user click on File, file should be highlighted.                                   3. To check that when user click on File, file dropdown should be displayed. </t>
  </si>
  <si>
    <t>Ex: Notepad                                                        1. When user click on notepad and click on file select new, new untitled page should be displayed.                                    2. When user click on format and click on font, fornt page should be displayed. 3. When user click on open, all saved notepad files should be displayed.</t>
  </si>
  <si>
    <t>Ex: Notepad                                                        1. When user click on Notepad and enter the data, and go to file click on save select the folder, click on save. Go to folder, check whether saved file should be displayed.                                      2. When user click on Notepad and enter the data--select the data--- goto format-- click on font-- change the font name, size and colour and click on OK, check whether the fonts name, size and colour has changed.                                         3. When user click on Notepad and enter the data, and go to file click on save select the folder, click on save. check whether the fils is deleted.</t>
  </si>
  <si>
    <t>Ex: Amazon                                                                        1. To check that  when user url welcome page should be displayed.                                2. To check that when user signup, signup page should be displayed.                                3.To check that when user enter all valid data and click on signup, signup page should be displayed.</t>
  </si>
  <si>
    <t xml:space="preserve">Using performance testing tool (VU Gen)          1. Click on start recording                                          2. The recording will be started (it will capture each &amp; every actions we performs.    3. Open the browser, enter url, UN &amp; Pwd and click on login button.                                       4. click on stop recording.                                          5. The tool will automatically write the code for action, enter the url and number of users into the tool and click on run button.                                                  6. after few durationclick on stop button           7. click for the start time and end time.        </t>
  </si>
  <si>
    <t xml:space="preserve">1)Requirement should be present.
2)Coding should be done.
3)WBT should be done.
4)sw/Build should be installed into server.
5)Resources should be available.
6)Smoke Testing should be done.
7)Functional,Integration, System, Usability,Realibility, Recovery, Global, Performance  testing should be done.
8)Once after the  SW quality is found good afetr testing for number of cycles
</t>
  </si>
  <si>
    <t xml:space="preserve">1)Requirement should be present.
2)Coding should be done.
3)WBT should be done.
4)sw/Build should be installed into server.
5)Resources should be available.
6)Smoke Testing should be done.
7)Functional,Integration, System testing should be done.
8)Usability test Scenarios and Test cases should be ready. </t>
  </si>
  <si>
    <t xml:space="preserve">1)Requirement should be present.
2)Coding should be done.
3)WBT should be done.
4)SW/Build should be installed into server.
5)Resources should be available.
6)Smoke Testing should be done.
7)Functional testing should be done.
8)Integration test Scenarios and Test cases should be ready. 
</t>
  </si>
  <si>
    <t xml:space="preserve">1)Requirement should be present.
2)Coding should be done.
3)WBT should be done.
4)sw/Build should be installed into server.
5)Resources should be available.
6)Smoke Testing should be done.
7)Functional test Scenarios and Test cases should be ready. 
</t>
  </si>
  <si>
    <t xml:space="preserve">1)Requirement should be present.
2)Coding should be done.
3)WBT should be done.
4)SW/Build should be installed into server.
5)Resources should be available.
6)Smoke Testing should be done.
7)Functional,Integration, System testing should be done.
8)Performance test Scenarios and Test cases should be ready. </t>
  </si>
  <si>
    <t>Globalization Testing</t>
  </si>
  <si>
    <t>Testing the SW which is developed for different languages in called Globalization Testing</t>
  </si>
  <si>
    <t>1. Internationalization testing (I18N Testing)
2. Localization testing (L10N Testing)</t>
  </si>
  <si>
    <t>1)Requirement should be present.
2)Coding should be done.
3)WBT should be done.
4)sw/Build should be installed into server.
5)Resources should be available.
6)Smoke Testing should be done.
7)Functional,Integration, System testing should be done.
8)If the software is developed for different langauges</t>
  </si>
  <si>
    <t>To check whether the data flow between one or more modules is working as per the customer requirement specification.</t>
  </si>
  <si>
    <t>To check whether each and every individual component is working as per the customer requirement specification.</t>
  </si>
  <si>
    <t>1. To get confidence on the product/software.
2. To ensure that product meets the business requirement
3. To make sure that s/w company is not developing wrong feature.
4. Chances are there because of business pressure company might miss some defects.</t>
  </si>
  <si>
    <t xml:space="preserve">1. To check that whether s/w or build is testable or not.
2. First day itself while doing smoke testing if you find any defect, communicate to develop. So, that developer will get sufficient time to fix the defect.
3. We are doing smoke testing indirectly. we are ensuring build is insalled properly or not.
4. Developer is giving new build means he will be doing some code changes and this might affect old basic and critical features, In order to find that we should do smoke testing.
5. It is like health check up of the product, so we should do smoke testing.
6. Its like a build verification testing, we check whether build is broken or not. thats why we should do smoke testing.
7. (a) Before doing thorough FT, IT, ST, smoke testing should be done.
(b). Before doing acceptance customer should do smoke testing.
(c). Once after build or s/w is deployed into production server, before using s/w for real business smoke testing should be done. </t>
  </si>
  <si>
    <t>To check weather SW or application is user friendly.
i.e, Easy to understand, simple language, easy to access, easy to navigate, look and feel of the application should be good.</t>
  </si>
  <si>
    <t>To check, how is the response time and stability of an application when load is applied.</t>
  </si>
  <si>
    <t>To check when we navigate through all the features &amp; check whether if the end featutre is working as expected or not.</t>
  </si>
  <si>
    <t>To check if each and every line of code is working as expected or not</t>
  </si>
  <si>
    <t>1)Acc to the Case1, IT Engineerwho is a Domain expert present in the Customers place will do Acceptance Testing,once IT Engineer /Customer get confidence on the sw then only sw will be deployed or installed into the production server, so that customers can use sw and run the business.
2)Acc to Case2, Agents present in the Customers place and who are domain experts will be involved in doing Acceptance Testing.IT Engineer present in the customer place pick some agents who are domain expert and ask them make a note of real time customer data in sw and also in book for some particular period of time until agents gets confidence on the sw then sw will deployed into productio server.
3)Acc to Case3, TE fromthe company will travel to Customers place and by looking into the business document they will do Acceptance testing.
4)Acc to Case4,customer will travel  to company along with the business Document and give the business document to the testing team and ask them to look into the business document and do Acceptance Testing.
5)Acc to Case5, wipro will release sw to customer Fedex  and Customer,fedex will ask their customers to do Acceptance Testing.</t>
  </si>
  <si>
    <t xml:space="preserve">TWITTER
1)It is a mandatory field but there is no asterisk  Symbol.
2)Proper Error Message should be displayed to overcome the mistakes down by Customer.
3)There should be Back Button so that user should not be forced to use browser back button. </t>
  </si>
  <si>
    <r>
      <t xml:space="preserve">Acceptance testing - </t>
    </r>
    <r>
      <rPr>
        <b/>
        <sz val="14"/>
        <color theme="1"/>
        <rFont val="Calibri"/>
        <family val="2"/>
        <scheme val="minor"/>
      </rPr>
      <t>HOW - Case-1</t>
    </r>
  </si>
  <si>
    <t>1)Requirement should be present.
2)Coding should be done.
3)WBT should be done.
4)SW/Build should be installed into server.
5)Resources should be available.
6)When minimum bunch of modules are ready
7)Smoke Testing should be done.
8)Functional testing should be done.
9) Integration testing should be done
10) Testing server similar to production server setup should be available.
11) When we start getting less number of requirement
12) Basic functionalities of all the modules should be working fine
13)Product/SW should be relatively stable / no blocker / Critical defect
14)System test Scenarios and Test cases should be ready.</t>
  </si>
  <si>
    <t>1. To check wheather right language is displayed
2. To check weather right content is displayed in right place</t>
  </si>
  <si>
    <t>Adhoc Testing</t>
  </si>
  <si>
    <t>Tesing the application or software randomly without looking into the requirement is called as Adhoc testing</t>
  </si>
  <si>
    <t>I18N Testing</t>
  </si>
  <si>
    <t>L10N Testing</t>
  </si>
  <si>
    <t>Testing the sw / application if it is developed for country standards / country culture is called Localization testing</t>
  </si>
  <si>
    <t>1)Requirement should be present.
2)Coding should be done.
3)WBT should be done.
4)sw/Build should be installed into server.
5)Resources should be available.
6)Smoke Testing should be done.
7)Functional,Integration, System testing should be done.
8)If the software is developed for country standards / country culture</t>
  </si>
  <si>
    <t>1. To check wheather right date format is displayed
2. To check wheather right currency format is displayed
3. To check wheather right Postal code is displayed
4. To check wheather right image format is displayed (National flag color)</t>
  </si>
  <si>
    <t>1. Chances are there customers or end users use the SW randomly and they might find defects in order to avoid that sdhoc testing should be done.
2. Develover &amp; Te will look into the req and develop &amp; test the SW, chances of finding the defects are less in thsi case, so TE will come up with creative scenarios to find more defects.
3. This is negative testing, so adhoc testing has to be doen.
4. Requirements are not followed, so we should adhoc testing.
5. The intention is to break the SW so we should do adhoc testing. (Find max number of defects)</t>
  </si>
  <si>
    <t>Realibility testing</t>
  </si>
  <si>
    <t>Testing the functionality of an application continuosly for a particular period of time is called Reability testing</t>
  </si>
  <si>
    <t>Recovery testing</t>
  </si>
  <si>
    <t>Testing thefunctionality of an  application to check how well the SW recovers from crashes or disaster is called as Recovery testing</t>
  </si>
  <si>
    <t>1. Buddy testing - Dev &amp; TE
2. Pair testing - TE &amp; TE
3. Monkey testing - TE like monkey</t>
  </si>
  <si>
    <t xml:space="preserve">1. As soon as we get the build we should do smoke testing, since smoke is positive testing here we should not do -ve testing(Adhoc)
2. While doing FT/IT/ST either in btw or at the end, if you have some time you can do Adhoc testing. Suppose if you don’t have time document the adhoc scenarios and communicate to the TL
3. Once after complete SW is testd as per the requirement then we can do Adhoc testing (-ve FT / IT / ST)
4.Once after SW is tested for 10-15 days test cycles and if the product / SW is stable then we will start doing adhoc testing (-ve FT / IT / ST)
5. While doing FT / IT / ST if you come up with good adhoc scenarios stop doing FT / IT / ST and test for adhoc scenarios (-ve FT / IT / ST) but dont spend too much of time in doing adhoc testing immediately switch back to FT / IT / ST
</t>
  </si>
  <si>
    <t xml:space="preserve"> 1. Right language
2. Right content in right place
3. Alignment (Unidirectional / Bidirectonal)
4.Tool tip</t>
  </si>
  <si>
    <t>1. Currency format
2. Date format
3. Pin code format
4. Image format</t>
  </si>
  <si>
    <t>Compatibility Testing</t>
  </si>
  <si>
    <t>Testing the functionality of an application / SW for different hardware &amp; SW configurations is called as Compatibility testing</t>
  </si>
  <si>
    <t>Once after the SW is tested for the base platform the SW can be tested for Compatibility</t>
  </si>
  <si>
    <t>1. TE will have tested the SW in one platform, chances are there the Users will use the SW in different platforms &amp; the SW might not work. Whis will spread bad name &amp; customer usage will go down, In order to avoid this we should do Compatibility testing
2. To ensure all the features is consistently working for all the platforms we will do Compatibility testing</t>
  </si>
  <si>
    <r>
      <t xml:space="preserve">Compatibility Testing - </t>
    </r>
    <r>
      <rPr>
        <b/>
        <sz val="14"/>
        <color theme="1"/>
        <rFont val="Calibri"/>
        <family val="2"/>
        <scheme val="minor"/>
      </rPr>
      <t>HOW</t>
    </r>
  </si>
  <si>
    <t>1. Hardware compatibility testing
2. Software compatibility testing</t>
  </si>
  <si>
    <t xml:space="preserve"> +ve / -ve testing</t>
  </si>
  <si>
    <t>Will Req be present</t>
  </si>
  <si>
    <t>Do you follow Requirement</t>
  </si>
  <si>
    <t>Exploratory testing</t>
  </si>
  <si>
    <t xml:space="preserve"> Positive testing</t>
  </si>
  <si>
    <t>Negative testing</t>
  </si>
  <si>
    <t>We follow requirement</t>
  </si>
  <si>
    <t>We do not follow requirement</t>
  </si>
  <si>
    <t>Requirement will not be present</t>
  </si>
  <si>
    <t>Requirement will be present</t>
  </si>
  <si>
    <t>Both +ve &amp; -ve</t>
  </si>
  <si>
    <t>No</t>
  </si>
  <si>
    <t>Understand the application, identify all possible scenarios, document the scenarios &amp; test the application by refereing the document is called Exploratory testing</t>
  </si>
  <si>
    <t>1. When there is no requirement
2. Threre is requirement but TE dosen't have time to understand the req
3. Req is present but its very complex to understand</t>
  </si>
  <si>
    <t>If we do exploratory testing when theres no requirement we can find all blocker &amp; critical defectrs and we might miss some minor defects and when software is released to the customer. Our customer can use the SW and run the businesss without facing any blocker problems. So when there is no requirement it is always best to do ET instead of releasing the SW to the customer without testing</t>
  </si>
  <si>
    <t>1. I will understand the application and I will try to enter all possible inputs to each &amp; every components and I will do ET
2.I will understand the application &amp; check data flow btw the module by doing ET
3. I wil explore the app &amp; I will understand how every feature works and i will test all possible end to end scenarios by doing exploratory testing.</t>
  </si>
  <si>
    <t>Rules</t>
  </si>
  <si>
    <t>1. +ve 1st
2. if vald not working don’t do invalid
3. If one invalid is not working, don’t stop. Continue to find more defects
4. Confusion contact Seniors
5. Always optimized testing</t>
  </si>
  <si>
    <t>Ref : Diagram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</si>
</sst>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4"/>
      <color theme="1"/>
      <name val="Calibri"/>
      <family val="2"/>
      <scheme val="minor"/>
    </font>
    <font>
      <b/>
      <sz val="14"/>
      <color theme="1"/>
      <name val="Calibri"/>
      <family val="2"/>
      <scheme val="minor"/>
    </font>
    <font>
      <sz val="14"/>
      <name val="Calibri"/>
      <family val="2"/>
      <scheme val="minor"/>
    </font>
  </fonts>
  <fills count="4">
    <fill>
      <patternFill patternType="none"/>
    </fill>
    <fill>
      <patternFill patternType="gray125"/>
    </fill>
    <fill>
      <patternFill patternType="solid">
        <fgColor theme="2" tint="-0.249977111117893"/>
        <bgColor indexed="64"/>
      </patternFill>
    </fill>
    <fill>
      <patternFill patternType="solid">
        <fgColor theme="0" tint="-4.9989318521683403E-2"/>
        <bgColor indexed="64"/>
      </patternFill>
    </fill>
  </fills>
  <borders count="4">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s>
  <cellStyleXfs count="1">
    <xf numFmtId="0" fontId="0" fillId="0" borderId="0"/>
  </cellStyleXfs>
  <cellXfs count="16">
    <xf numFmtId="0" fontId="0" fillId="0" borderId="0" xfId="0"/>
    <xf numFmtId="0" fontId="1" fillId="0" borderId="0" xfId="0" applyFont="1"/>
    <xf numFmtId="0" fontId="2" fillId="2" borderId="1" xfId="0" applyFont="1" applyFill="1" applyBorder="1" applyAlignment="1">
      <alignment horizontal="center" vertical="center"/>
    </xf>
    <xf numFmtId="0" fontId="1" fillId="0" borderId="0" xfId="0" applyFont="1" applyAlignment="1">
      <alignment horizontal="center" vertical="center"/>
    </xf>
    <xf numFmtId="0" fontId="1" fillId="0" borderId="0" xfId="0" applyFont="1" applyAlignment="1">
      <alignment horizontal="left"/>
    </xf>
    <xf numFmtId="0" fontId="3" fillId="3" borderId="1" xfId="0"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3" borderId="1" xfId="0" applyFont="1" applyFill="1" applyBorder="1" applyAlignment="1">
      <alignment horizontal="left" vertical="top" wrapText="1"/>
    </xf>
    <xf numFmtId="0" fontId="3" fillId="0" borderId="1" xfId="0" applyFont="1" applyFill="1" applyBorder="1" applyAlignment="1">
      <alignment horizontal="left" vertical="top" wrapText="1"/>
    </xf>
    <xf numFmtId="0" fontId="2" fillId="2" borderId="1" xfId="0" applyFont="1" applyFill="1" applyBorder="1" applyAlignment="1">
      <alignment horizontal="center" vertical="center" wrapText="1"/>
    </xf>
    <xf numFmtId="0" fontId="3" fillId="3" borderId="2" xfId="0" applyFont="1" applyFill="1" applyBorder="1" applyAlignment="1">
      <alignment horizontal="left" vertical="top" wrapText="1"/>
    </xf>
    <xf numFmtId="0" fontId="3" fillId="3" borderId="3" xfId="0" applyFont="1" applyFill="1" applyBorder="1" applyAlignment="1">
      <alignment horizontal="left" vertical="top"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3" fillId="3" borderId="2" xfId="0" applyFont="1" applyFill="1" applyBorder="1" applyAlignment="1">
      <alignment horizontal="left" vertical="top" wrapText="1"/>
    </xf>
    <xf numFmtId="0" fontId="3" fillId="3" borderId="3"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2" Type="http://schemas.openxmlformats.org/officeDocument/2006/relationships/image" Target="../media/image2.png"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5</xdr:col>
      <xdr:colOff>10887</xdr:colOff>
      <xdr:row>13</xdr:row>
      <xdr:rowOff>141514</xdr:rowOff>
    </xdr:from>
    <xdr:to>
      <xdr:col>8</xdr:col>
      <xdr:colOff>2022022</xdr:colOff>
      <xdr:row>32</xdr:row>
      <xdr:rowOff>117021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384" r="491" b="45658"/>
        <a:stretch/>
      </xdr:blipFill>
      <xdr:spPr>
        <a:xfrm>
          <a:off x="10363201" y="17558657"/>
          <a:ext cx="9263742" cy="4223657"/>
        </a:xfrm>
        <a:prstGeom prst="rect">
          <a:avLst/>
        </a:prstGeom>
        <a:ln>
          <a:solidFill>
            <a:sysClr val="windowText" lastClr="000000"/>
          </a:solidFill>
        </a:ln>
      </xdr:spPr>
    </xdr:pic>
    <xdr:clientData/>
  </xdr:twoCellAnchor>
  <xdr:twoCellAnchor editAs="oneCell">
    <xdr:from>
      <xdr:col>13</xdr:col>
      <xdr:colOff>0</xdr:colOff>
      <xdr:row>12</xdr:row>
      <xdr:rowOff>209550</xdr:rowOff>
    </xdr:from>
    <xdr:to>
      <xdr:col>19</xdr:col>
      <xdr:colOff>287666</xdr:colOff>
      <xdr:row>32</xdr:row>
      <xdr:rowOff>114299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a:stretch>
          <a:fillRect/>
        </a:stretch>
      </xdr:blipFill>
      <xdr:spPr>
        <a:xfrm>
          <a:off x="26999690" y="17773650"/>
          <a:ext cx="9374516" cy="438149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2"/>
  <sheetViews>
    <sheetView showGridLines="0" tabSelected="1" zoomScale="40" zoomScaleNormal="40" workbookViewId="0">
      <pane xSplit="1" ySplit="1" topLeftCell="B2" activePane="bottomRight" state="frozen"/>
      <selection pane="bottomLeft" activeCell="A2" sqref="A2"/>
      <selection pane="topRight" activeCell="B1" sqref="B1"/>
      <selection pane="bottomRight" activeCell="K4" sqref="K4"/>
    </sheetView>
  </sheetViews>
  <sheetFormatPr defaultColWidth="8.875" defaultRowHeight="18.75" x14ac:dyDescent="0.25"/>
  <cols>
    <col min="1" max="1" width="12.5078125" style="3" customWidth="1"/>
    <col min="2" max="6" width="34.5703125" style="1" customWidth="1"/>
    <col min="7" max="7" width="35.78125" style="1" customWidth="1"/>
    <col min="8" max="9" width="35.37890625" style="1" customWidth="1"/>
    <col min="10" max="10" width="34.5703125" style="1" customWidth="1"/>
    <col min="11" max="16" width="35.37890625" style="1" customWidth="1"/>
    <col min="17" max="16384" width="8.875" style="1"/>
  </cols>
  <sheetData>
    <row r="1" spans="1:16" s="3" customFormat="1" ht="30.6" customHeight="1" thickBot="1" x14ac:dyDescent="0.25">
      <c r="A1" s="2" t="s">
        <v>0</v>
      </c>
      <c r="B1" s="2" t="s">
        <v>5</v>
      </c>
      <c r="C1" s="2" t="s">
        <v>1</v>
      </c>
      <c r="D1" s="2" t="s">
        <v>2</v>
      </c>
      <c r="E1" s="2" t="s">
        <v>3</v>
      </c>
      <c r="F1" s="2" t="s">
        <v>4</v>
      </c>
      <c r="G1" s="2" t="s">
        <v>6</v>
      </c>
      <c r="H1" s="2" t="s">
        <v>60</v>
      </c>
      <c r="I1" s="2" t="s">
        <v>85</v>
      </c>
      <c r="J1" s="2" t="s">
        <v>7</v>
      </c>
      <c r="K1" s="2" t="s">
        <v>8</v>
      </c>
      <c r="L1" s="12" t="s">
        <v>43</v>
      </c>
      <c r="M1" s="13"/>
      <c r="N1" s="2" t="s">
        <v>76</v>
      </c>
      <c r="O1" s="2" t="s">
        <v>68</v>
      </c>
      <c r="P1" s="2" t="s">
        <v>70</v>
      </c>
    </row>
    <row r="2" spans="1:16" s="3" customFormat="1" ht="30.6" customHeight="1" thickBot="1" x14ac:dyDescent="0.25">
      <c r="A2" s="2"/>
      <c r="B2" s="2"/>
      <c r="C2" s="2"/>
      <c r="D2" s="2"/>
      <c r="E2" s="2"/>
      <c r="F2" s="2"/>
      <c r="G2" s="2"/>
      <c r="H2" s="2"/>
      <c r="I2" s="2"/>
      <c r="J2" s="2"/>
      <c r="K2" s="2"/>
      <c r="L2" s="2" t="s">
        <v>62</v>
      </c>
      <c r="M2" s="2" t="s">
        <v>63</v>
      </c>
      <c r="N2" s="2"/>
      <c r="O2" s="2"/>
      <c r="P2" s="2"/>
    </row>
    <row r="3" spans="1:16" ht="124.5" customHeight="1" thickBot="1" x14ac:dyDescent="0.3">
      <c r="A3" s="2" t="s">
        <v>9</v>
      </c>
      <c r="B3" s="5" t="s">
        <v>16</v>
      </c>
      <c r="C3" s="5" t="s">
        <v>15</v>
      </c>
      <c r="D3" s="5" t="s">
        <v>14</v>
      </c>
      <c r="E3" s="5" t="s">
        <v>21</v>
      </c>
      <c r="F3" s="5" t="s">
        <v>20</v>
      </c>
      <c r="G3" s="5" t="s">
        <v>19</v>
      </c>
      <c r="H3" s="5" t="s">
        <v>61</v>
      </c>
      <c r="I3" s="5" t="s">
        <v>94</v>
      </c>
      <c r="J3" s="5" t="s">
        <v>18</v>
      </c>
      <c r="K3" s="5" t="s">
        <v>17</v>
      </c>
      <c r="L3" s="5" t="s">
        <v>44</v>
      </c>
      <c r="M3" s="5" t="s">
        <v>64</v>
      </c>
      <c r="N3" s="5" t="s">
        <v>77</v>
      </c>
      <c r="O3" s="5" t="s">
        <v>69</v>
      </c>
      <c r="P3" s="5" t="s">
        <v>71</v>
      </c>
    </row>
    <row r="4" spans="1:16" s="4" customFormat="1" ht="409.6" thickBot="1" x14ac:dyDescent="0.3">
      <c r="A4" s="2" t="s">
        <v>10</v>
      </c>
      <c r="B4" s="6" t="s">
        <v>23</v>
      </c>
      <c r="C4" s="6" t="s">
        <v>41</v>
      </c>
      <c r="D4" s="6" t="s">
        <v>40</v>
      </c>
      <c r="E4" s="6" t="s">
        <v>58</v>
      </c>
      <c r="F4" s="6" t="s">
        <v>38</v>
      </c>
      <c r="G4" s="6" t="s">
        <v>22</v>
      </c>
      <c r="H4" s="6" t="s">
        <v>73</v>
      </c>
      <c r="I4" s="6" t="s">
        <v>95</v>
      </c>
      <c r="J4" s="6" t="s">
        <v>39</v>
      </c>
      <c r="K4" s="6" t="s">
        <v>42</v>
      </c>
      <c r="L4" s="6" t="s">
        <v>46</v>
      </c>
      <c r="M4" s="6" t="s">
        <v>65</v>
      </c>
      <c r="N4" s="6" t="s">
        <v>78</v>
      </c>
      <c r="O4" s="6"/>
      <c r="P4" s="6"/>
    </row>
    <row r="5" spans="1:16" s="4" customFormat="1" ht="409.6" customHeight="1" thickBot="1" x14ac:dyDescent="0.3">
      <c r="A5" s="2" t="s">
        <v>11</v>
      </c>
      <c r="B5" s="5" t="s">
        <v>54</v>
      </c>
      <c r="C5" s="5" t="s">
        <v>48</v>
      </c>
      <c r="D5" s="5" t="s">
        <v>47</v>
      </c>
      <c r="E5" s="5" t="s">
        <v>53</v>
      </c>
      <c r="F5" s="7" t="s">
        <v>49</v>
      </c>
      <c r="G5" s="7" t="s">
        <v>50</v>
      </c>
      <c r="H5" s="5" t="s">
        <v>67</v>
      </c>
      <c r="I5" s="5" t="s">
        <v>96</v>
      </c>
      <c r="J5" s="5" t="s">
        <v>51</v>
      </c>
      <c r="K5" s="5" t="s">
        <v>52</v>
      </c>
      <c r="L5" s="5" t="s">
        <v>59</v>
      </c>
      <c r="M5" s="5" t="s">
        <v>66</v>
      </c>
      <c r="N5" s="5" t="s">
        <v>79</v>
      </c>
      <c r="O5" s="5"/>
      <c r="P5" s="5"/>
    </row>
    <row r="6" spans="1:16" s="4" customFormat="1" ht="234.6" customHeight="1" thickBot="1" x14ac:dyDescent="0.3">
      <c r="A6" s="2" t="s">
        <v>12</v>
      </c>
      <c r="B6" s="8" t="s">
        <v>32</v>
      </c>
      <c r="C6" s="8" t="s">
        <v>33</v>
      </c>
      <c r="D6" s="8" t="s">
        <v>34</v>
      </c>
      <c r="E6" s="8" t="s">
        <v>35</v>
      </c>
      <c r="F6" s="8" t="s">
        <v>55</v>
      </c>
      <c r="G6" s="8" t="s">
        <v>36</v>
      </c>
      <c r="H6" s="8"/>
      <c r="I6" s="8" t="s">
        <v>97</v>
      </c>
      <c r="J6" s="6" t="s">
        <v>56</v>
      </c>
      <c r="K6" s="8" t="s">
        <v>37</v>
      </c>
      <c r="L6" s="8" t="s">
        <v>74</v>
      </c>
      <c r="M6" s="8" t="s">
        <v>75</v>
      </c>
      <c r="N6" s="8" t="s">
        <v>100</v>
      </c>
      <c r="O6" s="8"/>
      <c r="P6" s="8"/>
    </row>
    <row r="7" spans="1:16" s="4" customFormat="1" ht="126" customHeight="1" thickBot="1" x14ac:dyDescent="0.3">
      <c r="A7" s="2" t="s">
        <v>13</v>
      </c>
      <c r="B7" s="7" t="s">
        <v>24</v>
      </c>
      <c r="C7" s="7" t="s">
        <v>25</v>
      </c>
      <c r="D7" s="7" t="s">
        <v>26</v>
      </c>
      <c r="E7" s="7" t="s">
        <v>27</v>
      </c>
      <c r="F7" s="7" t="s">
        <v>28</v>
      </c>
      <c r="G7" s="7" t="s">
        <v>29</v>
      </c>
      <c r="H7" s="7" t="s">
        <v>72</v>
      </c>
      <c r="I7" s="7"/>
      <c r="J7" s="7" t="s">
        <v>30</v>
      </c>
      <c r="K7" s="7" t="s">
        <v>31</v>
      </c>
      <c r="L7" s="14" t="s">
        <v>45</v>
      </c>
      <c r="M7" s="15"/>
      <c r="N7" s="7" t="s">
        <v>81</v>
      </c>
      <c r="O7" s="7"/>
      <c r="P7" s="7"/>
    </row>
    <row r="8" spans="1:16" s="4" customFormat="1" ht="186.6" customHeight="1" thickBot="1" x14ac:dyDescent="0.3">
      <c r="A8" s="2" t="s">
        <v>98</v>
      </c>
      <c r="B8" s="7"/>
      <c r="C8" s="7" t="s">
        <v>99</v>
      </c>
      <c r="D8" s="7"/>
      <c r="E8" s="7"/>
      <c r="F8" s="7"/>
      <c r="G8" s="7"/>
      <c r="H8" s="7"/>
      <c r="I8" s="7"/>
      <c r="J8" s="7"/>
      <c r="K8" s="7"/>
      <c r="L8" s="10"/>
      <c r="M8" s="11"/>
      <c r="N8" s="7"/>
      <c r="O8" s="7"/>
      <c r="P8" s="7"/>
    </row>
    <row r="9" spans="1:16" s="4" customFormat="1" ht="126" customHeight="1" thickBot="1" x14ac:dyDescent="0.3">
      <c r="A9" s="9" t="s">
        <v>82</v>
      </c>
      <c r="B9" s="7"/>
      <c r="C9" s="7"/>
      <c r="D9" s="7"/>
      <c r="E9" s="7"/>
      <c r="F9" s="7"/>
      <c r="G9" s="7" t="s">
        <v>86</v>
      </c>
      <c r="H9" s="7" t="s">
        <v>87</v>
      </c>
      <c r="I9" s="7" t="s">
        <v>92</v>
      </c>
      <c r="J9" s="7"/>
      <c r="K9" s="7"/>
      <c r="L9" s="14"/>
      <c r="M9" s="15"/>
      <c r="N9" s="7"/>
      <c r="O9" s="7"/>
      <c r="P9" s="7"/>
    </row>
    <row r="10" spans="1:16" s="4" customFormat="1" ht="126" customHeight="1" thickBot="1" x14ac:dyDescent="0.3">
      <c r="A10" s="9" t="s">
        <v>83</v>
      </c>
      <c r="B10" s="7"/>
      <c r="C10" s="7"/>
      <c r="D10" s="7"/>
      <c r="E10" s="7"/>
      <c r="F10" s="7"/>
      <c r="G10" s="7" t="s">
        <v>91</v>
      </c>
      <c r="H10" s="7" t="s">
        <v>91</v>
      </c>
      <c r="I10" s="7" t="s">
        <v>90</v>
      </c>
      <c r="J10" s="7"/>
      <c r="K10" s="7"/>
      <c r="L10" s="14"/>
      <c r="M10" s="15"/>
      <c r="N10" s="7"/>
      <c r="O10" s="7"/>
      <c r="P10" s="7"/>
    </row>
    <row r="11" spans="1:16" s="4" customFormat="1" ht="126" customHeight="1" thickBot="1" x14ac:dyDescent="0.3">
      <c r="A11" s="9" t="s">
        <v>84</v>
      </c>
      <c r="B11" s="7"/>
      <c r="C11" s="7"/>
      <c r="D11" s="7"/>
      <c r="E11" s="7"/>
      <c r="F11" s="7"/>
      <c r="G11" s="7" t="s">
        <v>88</v>
      </c>
      <c r="H11" s="7" t="s">
        <v>89</v>
      </c>
      <c r="I11" s="7" t="s">
        <v>93</v>
      </c>
      <c r="J11" s="7"/>
      <c r="K11" s="7"/>
      <c r="L11" s="14"/>
      <c r="M11" s="15"/>
      <c r="N11" s="7"/>
      <c r="O11" s="7"/>
      <c r="P11" s="7"/>
    </row>
    <row r="12" spans="1:16" x14ac:dyDescent="0.25">
      <c r="N12" s="1" t="s">
        <v>80</v>
      </c>
    </row>
    <row r="13" spans="1:16" x14ac:dyDescent="0.25">
      <c r="F13" s="1" t="s">
        <v>57</v>
      </c>
    </row>
    <row r="32" ht="10.15" customHeight="1" x14ac:dyDescent="0.25"/>
  </sheetData>
  <mergeCells count="5">
    <mergeCell ref="L1:M1"/>
    <mergeCell ref="L7:M7"/>
    <mergeCell ref="L9:M9"/>
    <mergeCell ref="L10:M10"/>
    <mergeCell ref="L11:M1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3:H9"/>
  <sheetViews>
    <sheetView workbookViewId="0">
      <selection activeCell="D21" sqref="D21"/>
    </sheetView>
  </sheetViews>
  <sheetFormatPr defaultRowHeight="15" x14ac:dyDescent="0.2"/>
  <sheetData>
    <row r="3" spans="3:8" x14ac:dyDescent="0.2">
      <c r="D3">
        <v>10</v>
      </c>
      <c r="E3">
        <v>9</v>
      </c>
      <c r="F3">
        <v>8</v>
      </c>
      <c r="G3">
        <v>7</v>
      </c>
      <c r="H3">
        <v>6</v>
      </c>
    </row>
    <row r="4" spans="3:8" x14ac:dyDescent="0.2">
      <c r="D4">
        <v>10</v>
      </c>
      <c r="E4">
        <v>10</v>
      </c>
      <c r="F4">
        <v>10</v>
      </c>
      <c r="G4">
        <v>10</v>
      </c>
      <c r="H4">
        <v>10</v>
      </c>
    </row>
    <row r="5" spans="3:8" x14ac:dyDescent="0.2">
      <c r="D5">
        <f>+D3*D4</f>
        <v>100</v>
      </c>
      <c r="E5">
        <f>+E3*E4</f>
        <v>90</v>
      </c>
      <c r="F5">
        <f>+F3*F4</f>
        <v>80</v>
      </c>
      <c r="G5">
        <f>+G3*G4</f>
        <v>70</v>
      </c>
      <c r="H5">
        <f>+H3*H4</f>
        <v>60</v>
      </c>
    </row>
    <row r="6" spans="3:8" x14ac:dyDescent="0.2">
      <c r="E6">
        <f>+AVERAGE(D5,E5)</f>
        <v>95</v>
      </c>
      <c r="F6">
        <f>+AVERAGE(E5,F5,D5)</f>
        <v>90</v>
      </c>
      <c r="G6">
        <f>+AVERAGE(F5,G5,E5,D5)</f>
        <v>85</v>
      </c>
      <c r="H6">
        <f>+AVERAGE(G5,H5,F5,E5,D5)</f>
        <v>80</v>
      </c>
    </row>
    <row r="7" spans="3:8" x14ac:dyDescent="0.2">
      <c r="C7">
        <f>+D5+E5+F5</f>
        <v>270</v>
      </c>
      <c r="D7">
        <f>+D5+E5+F5+G5</f>
        <v>340</v>
      </c>
      <c r="E7">
        <f>+E5+F5+G5+H5+D5</f>
        <v>400</v>
      </c>
    </row>
    <row r="8" spans="3:8" x14ac:dyDescent="0.2">
      <c r="C8">
        <f>(D4+E4+F4)*F3</f>
        <v>240</v>
      </c>
      <c r="D8">
        <f>(D4+E4+F4+G4)*G3</f>
        <v>280</v>
      </c>
      <c r="E8">
        <f>(E4+F4+G4+H4+D4)*H3</f>
        <v>300</v>
      </c>
    </row>
    <row r="9" spans="3:8" x14ac:dyDescent="0.2">
      <c r="C9">
        <f>+C7-C8</f>
        <v>30</v>
      </c>
      <c r="D9">
        <f>+D7-D8</f>
        <v>60</v>
      </c>
      <c r="E9">
        <f>+E7-E8</f>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2</vt:i4>
      </vt:variant>
    </vt:vector>
  </HeadingPairs>
  <TitlesOfParts>
    <vt:vector size="2" baseType="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Yashas</dc:creator>
  <cp:lastModifiedBy>Yashas</cp:lastModifiedBy>
  <dcterms:created xsi:type="dcterms:W3CDTF">2021-07-30T17:13:35Z</dcterms:created>
  <dcterms:modified xsi:type="dcterms:W3CDTF">2021-08-31T11:41:28Z</dcterms:modified>
</cp:coreProperties>
</file>